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Trabajo\Clientes\"/>
    </mc:Choice>
  </mc:AlternateContent>
  <xr:revisionPtr revIDLastSave="0" documentId="13_ncr:1_{CFF6ABF3-BB09-4780-BA02-DD33658E013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Lista" sheetId="1" r:id="rId1"/>
    <sheet name="Opciones" sheetId="2" state="hidden" r:id="rId2"/>
    <sheet name="Login Automatico" sheetId="3" r:id="rId3"/>
  </sheets>
  <calcPr calcId="191029"/>
</workbook>
</file>

<file path=xl/calcChain.xml><?xml version="1.0" encoding="utf-8"?>
<calcChain xmlns="http://schemas.openxmlformats.org/spreadsheetml/2006/main">
  <c r="B14" i="3" l="1"/>
  <c r="B21" i="3" s="1"/>
  <c r="D21" i="3" s="1"/>
  <c r="C21" i="3" s="1"/>
  <c r="E7" i="3"/>
  <c r="D7" i="3"/>
  <c r="C7" i="3" s="1"/>
  <c r="E21" i="3" l="1"/>
  <c r="E14" i="3"/>
  <c r="D14" i="3"/>
  <c r="C14" i="3" s="1"/>
</calcChain>
</file>

<file path=xl/sharedStrings.xml><?xml version="1.0" encoding="utf-8"?>
<sst xmlns="http://schemas.openxmlformats.org/spreadsheetml/2006/main" count="33" uniqueCount="25">
  <si>
    <t>NOMBRE</t>
  </si>
  <si>
    <t>CUIT</t>
  </si>
  <si>
    <t>CUIT DEL REPRESENTANTE</t>
  </si>
  <si>
    <t>CLAVE AFIP</t>
  </si>
  <si>
    <t>CLAVE ARBA</t>
  </si>
  <si>
    <t>CLAVE APR</t>
  </si>
  <si>
    <t>SI</t>
  </si>
  <si>
    <t>NO</t>
  </si>
  <si>
    <t>Contribuyente</t>
  </si>
  <si>
    <t>Contraseña</t>
  </si>
  <si>
    <t>CONDICIÓN DEL MONOTRIBUTO</t>
  </si>
  <si>
    <t>ATENCIÓN: Recordá cerrar la sesión previa de ARBA</t>
  </si>
  <si>
    <t>IMPORTANTE</t>
  </si>
  <si>
    <t>CUIT SOCIEDAD</t>
  </si>
  <si>
    <t>ATENCIÓN: Recordá cerrar la sesión previa de APR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</si>
  <si>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</si>
  <si>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</si>
  <si>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</si>
  <si>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</si>
  <si>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</si>
  <si>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</si>
  <si>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</si>
  <si>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</si>
  <si>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Client 9</t>
  </si>
  <si>
    <t>Client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</si>
</sst>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i/>
      <sz val="6"/>
      <color theme="1"/>
      <name val="Calibri"/>
      <family val="2"/>
    </font>
    <font>
      <sz val="6"/>
      <color theme="1"/>
      <name val="Calibri"/>
      <family val="2"/>
    </font>
    <font>
      <b/>
      <sz val="11"/>
      <color theme="0"/>
      <name val="Abadi"/>
      <family val="2"/>
    </font>
    <font>
      <sz val="11"/>
      <color theme="1"/>
      <name val="Abadi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8"/>
      <color rgb="FFFF0000"/>
      <name val="Calibri"/>
      <family val="2"/>
    </font>
    <font>
      <sz val="8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D9E2F3"/>
        <bgColor rgb="FFD9E2F3"/>
      </patternFill>
    </fill>
    <fill>
      <patternFill patternType="solid">
        <fgColor rgb="FFF7CAAC"/>
        <bgColor rgb="FFF7CAAC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D8D8D8"/>
        <bgColor rgb="FFD8D8D8"/>
      </patternFill>
    </fill>
    <fill>
      <patternFill patternType="solid">
        <fgColor rgb="FFD044A1"/>
        <bgColor rgb="FFD044A1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6" fillId="5" borderId="5" xfId="0" applyFont="1" applyFill="1" applyBorder="1" applyAlignment="1">
      <alignment horizontal="center"/>
    </xf>
    <xf numFmtId="0" fontId="1" fillId="4" borderId="6" xfId="0" applyFont="1" applyFill="1" applyBorder="1"/>
    <xf numFmtId="0" fontId="1" fillId="4" borderId="7" xfId="0" applyFont="1" applyFill="1" applyBorder="1"/>
    <xf numFmtId="0" fontId="8" fillId="0" borderId="0" xfId="0" applyFont="1"/>
    <xf numFmtId="0" fontId="9" fillId="0" borderId="0" xfId="0" applyFont="1"/>
    <xf numFmtId="0" fontId="1" fillId="6" borderId="1" xfId="0" applyFont="1" applyFill="1" applyBorder="1"/>
    <xf numFmtId="0" fontId="5" fillId="6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0" fillId="0" borderId="0" xfId="0" applyFont="1"/>
    <xf numFmtId="0" fontId="1" fillId="8" borderId="1" xfId="0" applyFont="1" applyFill="1" applyBorder="1"/>
    <xf numFmtId="0" fontId="5" fillId="8" borderId="1" xfId="0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49" fontId="6" fillId="3" borderId="1" xfId="0" applyNumberFormat="1" applyFon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3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Lista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981075</xdr:colOff>
      <xdr:row>3</xdr:row>
      <xdr:rowOff>9525</xdr:rowOff>
    </xdr:from>
    <xdr:ext cx="990600" cy="285750"/>
    <xdr:sp macro="[0]!AFIP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855463" y="3641888"/>
          <a:ext cx="981075" cy="276225"/>
        </a:xfrm>
        <a:prstGeom prst="roundRect">
          <a:avLst>
            <a:gd name="adj" fmla="val 16667"/>
          </a:avLst>
        </a:prstGeom>
        <a:gradFill>
          <a:gsLst>
            <a:gs pos="0">
              <a:srgbClr val="5F82CA"/>
            </a:gs>
            <a:gs pos="50000">
              <a:srgbClr val="3C70CA"/>
            </a:gs>
            <a:gs pos="100000">
              <a:srgbClr val="2E60B9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Arial"/>
            <a:buNone/>
          </a:pPr>
          <a:r>
            <a:rPr lang="en-US" sz="1100" b="1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Ingresar</a:t>
          </a:r>
          <a:endParaRPr sz="1400"/>
        </a:p>
      </xdr:txBody>
    </xdr:sp>
    <xdr:clientData fLocksWithSheet="0"/>
  </xdr:oneCellAnchor>
  <xdr:oneCellAnchor>
    <xdr:from>
      <xdr:col>1</xdr:col>
      <xdr:colOff>1609725</xdr:colOff>
      <xdr:row>7</xdr:row>
      <xdr:rowOff>0</xdr:rowOff>
    </xdr:from>
    <xdr:ext cx="161925" cy="2000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-5400000">
          <a:off x="5250750" y="3699038"/>
          <a:ext cx="190500" cy="161925"/>
        </a:xfrm>
        <a:prstGeom prst="rightArrow">
          <a:avLst>
            <a:gd name="adj1" fmla="val 50000"/>
            <a:gd name="adj2" fmla="val 50000"/>
          </a:avLst>
        </a:prstGeom>
        <a:gradFill>
          <a:gsLst>
            <a:gs pos="0">
              <a:srgbClr val="B0500F"/>
            </a:gs>
            <a:gs pos="48000">
              <a:srgbClr val="ED8037"/>
            </a:gs>
            <a:gs pos="100000">
              <a:srgbClr val="F4B081"/>
            </a:gs>
          </a:gsLst>
          <a:lin ang="162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4</xdr:col>
      <xdr:colOff>981075</xdr:colOff>
      <xdr:row>10</xdr:row>
      <xdr:rowOff>9525</xdr:rowOff>
    </xdr:from>
    <xdr:ext cx="990600" cy="285750"/>
    <xdr:sp macro="[0]!ARBA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55463" y="3641888"/>
          <a:ext cx="981075" cy="276225"/>
        </a:xfrm>
        <a:prstGeom prst="roundRect">
          <a:avLst>
            <a:gd name="adj" fmla="val 16667"/>
          </a:avLst>
        </a:prstGeom>
        <a:gradFill>
          <a:gsLst>
            <a:gs pos="0">
              <a:srgbClr val="AFAFAF"/>
            </a:gs>
            <a:gs pos="50000">
              <a:schemeClr val="accent3"/>
            </a:gs>
            <a:gs pos="100000">
              <a:srgbClr val="919191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Arial"/>
            <a:buNone/>
          </a:pPr>
          <a:r>
            <a:rPr lang="en-US" sz="1100" b="1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Ingresar</a:t>
          </a:r>
          <a:endParaRPr sz="1400"/>
        </a:p>
      </xdr:txBody>
    </xdr:sp>
    <xdr:clientData fLocksWithSheet="0"/>
  </xdr:oneCellAnchor>
  <xdr:oneCellAnchor>
    <xdr:from>
      <xdr:col>4</xdr:col>
      <xdr:colOff>981075</xdr:colOff>
      <xdr:row>17</xdr:row>
      <xdr:rowOff>9525</xdr:rowOff>
    </xdr:from>
    <xdr:ext cx="990600" cy="285750"/>
    <xdr:sp macro="[0]!APR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855463" y="3641888"/>
          <a:ext cx="981075" cy="276225"/>
        </a:xfrm>
        <a:prstGeom prst="roundRect">
          <a:avLst>
            <a:gd name="adj" fmla="val 16667"/>
          </a:avLst>
        </a:prstGeom>
        <a:solidFill>
          <a:srgbClr val="D044A1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Arial"/>
            <a:buNone/>
          </a:pPr>
          <a:r>
            <a:rPr lang="en-US" sz="1100" b="1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Ingresar</a:t>
          </a:r>
          <a:endParaRPr sz="1400"/>
        </a:p>
      </xdr:txBody>
    </xdr:sp>
    <xdr:clientData fLocksWithSheet="0"/>
  </xdr:oneCellAnchor>
  <xdr:oneCellAnchor>
    <xdr:from>
      <xdr:col>6</xdr:col>
      <xdr:colOff>238125</xdr:colOff>
      <xdr:row>2</xdr:row>
      <xdr:rowOff>28575</xdr:rowOff>
    </xdr:from>
    <xdr:ext cx="2152650" cy="590550"/>
    <xdr:sp macro="[0]!abrir_form.abrir_form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4274438" y="3489488"/>
          <a:ext cx="2143125" cy="581025"/>
        </a:xfrm>
        <a:prstGeom prst="rect">
          <a:avLst/>
        </a:prstGeom>
        <a:gradFill>
          <a:gsLst>
            <a:gs pos="0">
              <a:srgbClr val="F6F9FC"/>
            </a:gs>
            <a:gs pos="2000">
              <a:srgbClr val="F6F9FC"/>
            </a:gs>
            <a:gs pos="74000">
              <a:srgbClr val="B3D1EC"/>
            </a:gs>
            <a:gs pos="83000">
              <a:srgbClr val="B3D1EC"/>
            </a:gs>
            <a:gs pos="100000">
              <a:srgbClr val="CCE0F2"/>
            </a:gs>
          </a:gsLst>
          <a:lin ang="54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600"/>
            <a:buFont typeface="Calibri"/>
            <a:buNone/>
          </a:pPr>
          <a:r>
            <a:rPr lang="en-US" sz="16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SELECCIONAR CLIENTE</a:t>
          </a:r>
          <a:endParaRPr sz="1400"/>
        </a:p>
      </xdr:txBody>
    </xdr:sp>
    <xdr:clientData fLocksWithSheet="0"/>
  </xdr:oneCellAnchor>
  <xdr:oneCellAnchor>
    <xdr:from>
      <xdr:col>1</xdr:col>
      <xdr:colOff>38100</xdr:colOff>
      <xdr:row>10</xdr:row>
      <xdr:rowOff>19050</xdr:rowOff>
    </xdr:from>
    <xdr:ext cx="542925" cy="33337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28575</xdr:colOff>
      <xdr:row>17</xdr:row>
      <xdr:rowOff>9525</xdr:rowOff>
    </xdr:from>
    <xdr:ext cx="571500" cy="40957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3</xdr:row>
      <xdr:rowOff>0</xdr:rowOff>
    </xdr:from>
    <xdr:ext cx="504825" cy="180975"/>
    <xdr:pic>
      <xdr:nvPicPr>
        <xdr:cNvPr id="9" name="image1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12">
  <autoFilter ref="A1:F12" xr:uid="{00000000-000C-0000-FFFF-FFFF00000000}"/>
  <tableColumns count="6">
    <tableColumn id="1" xr3:uid="{00000000-0010-0000-0000-000001000000}" name="NOMBRE"/>
    <tableColumn id="2" xr3:uid="{00000000-0010-0000-0000-000002000000}" name="CUIT"/>
    <tableColumn id="3" xr3:uid="{00000000-0010-0000-0000-000003000000}" name="CUIT DEL REPRESENTANTE"/>
    <tableColumn id="4" xr3:uid="{00000000-0010-0000-0000-000004000000}" name="CLAVE AFIP"/>
    <tableColumn id="5" xr3:uid="{00000000-0010-0000-0000-000005000000}" name="CLAVE ARBA"/>
    <tableColumn id="6" xr3:uid="{00000000-0010-0000-0000-000006000000}" name="CLAVE APR"/>
  </tableColumns>
  <tableStyleInfo name="Lis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F986"/>
  <sheetViews>
    <sheetView workbookViewId="0">
      <pane xSplit="1" topLeftCell="B1" activePane="topRight" state="frozen"/>
      <selection pane="topRight" activeCell="A9" sqref="A9"/>
    </sheetView>
  </sheetViews>
  <sheetFormatPr baseColWidth="10" defaultColWidth="14.42578125" defaultRowHeight="15" customHeight="1" x14ac:dyDescent="0.25"/>
  <cols>
    <col min="1" max="1" width="23" customWidth="1"/>
    <col min="2" max="2" width="20.7109375" customWidth="1"/>
    <col min="3" max="3" width="24.42578125" customWidth="1"/>
    <col min="4" max="4" width="17.28515625" customWidth="1"/>
    <col min="5" max="5" width="13" customWidth="1"/>
    <col min="6" max="6" width="11.85546875" customWidth="1"/>
    <col min="7" max="16" width="14" customWidth="1"/>
  </cols>
  <sheetData>
    <row r="1" spans="1:6" ht="14.2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4.25" customHeight="1" x14ac:dyDescent="0.25">
      <c r="A2" s="1" t="s">
        <v>15</v>
      </c>
      <c r="B2" s="1">
        <v>1</v>
      </c>
      <c r="C2" s="1">
        <v>1</v>
      </c>
      <c r="D2" s="1">
        <v>1</v>
      </c>
      <c r="E2" s="1">
        <v>1</v>
      </c>
      <c r="F2" s="1">
        <v>1</v>
      </c>
    </row>
    <row r="3" spans="1:6" ht="14.25" customHeight="1" x14ac:dyDescent="0.25">
      <c r="A3" s="1" t="s">
        <v>16</v>
      </c>
      <c r="B3" s="1">
        <v>1</v>
      </c>
      <c r="C3" s="1">
        <v>1</v>
      </c>
      <c r="D3" s="1">
        <v>1</v>
      </c>
      <c r="E3" s="1">
        <v>1</v>
      </c>
      <c r="F3" s="1">
        <v>1</v>
      </c>
    </row>
    <row r="4" spans="1:6" ht="14.25" customHeight="1" x14ac:dyDescent="0.25">
      <c r="A4" s="1" t="s">
        <v>17</v>
      </c>
      <c r="B4" s="1">
        <v>1</v>
      </c>
      <c r="C4" s="1">
        <v>1</v>
      </c>
      <c r="D4" s="1">
        <v>1</v>
      </c>
      <c r="E4" s="1">
        <v>1</v>
      </c>
      <c r="F4" s="1">
        <v>1</v>
      </c>
    </row>
    <row r="5" spans="1:6" ht="14.25" customHeight="1" x14ac:dyDescent="0.25">
      <c r="A5" s="1" t="s">
        <v>18</v>
      </c>
      <c r="B5" s="1">
        <v>1</v>
      </c>
      <c r="C5" s="1">
        <v>1</v>
      </c>
      <c r="D5" s="1">
        <v>1</v>
      </c>
      <c r="E5" s="1">
        <v>1</v>
      </c>
      <c r="F5" s="1">
        <v>1</v>
      </c>
    </row>
    <row r="6" spans="1:6" ht="14.25" customHeight="1" x14ac:dyDescent="0.25">
      <c r="A6" s="1" t="s">
        <v>19</v>
      </c>
      <c r="B6" s="1">
        <v>1</v>
      </c>
      <c r="C6" s="1">
        <v>1</v>
      </c>
      <c r="D6" s="1">
        <v>1</v>
      </c>
      <c r="E6" s="1">
        <v>1</v>
      </c>
      <c r="F6" s="1">
        <v>1</v>
      </c>
    </row>
    <row r="7" spans="1:6" ht="14.25" customHeight="1" x14ac:dyDescent="0.25">
      <c r="A7" s="1" t="s">
        <v>20</v>
      </c>
      <c r="B7" s="1">
        <v>1</v>
      </c>
      <c r="C7" s="1">
        <v>1</v>
      </c>
      <c r="D7" s="1">
        <v>1</v>
      </c>
      <c r="E7" s="1">
        <v>1</v>
      </c>
      <c r="F7" s="1">
        <v>1</v>
      </c>
    </row>
    <row r="8" spans="1:6" ht="14.25" customHeight="1" x14ac:dyDescent="0.25">
      <c r="A8" s="1" t="s">
        <v>21</v>
      </c>
      <c r="B8" s="1">
        <v>1</v>
      </c>
      <c r="C8" s="1">
        <v>1</v>
      </c>
      <c r="D8" s="1">
        <v>1</v>
      </c>
      <c r="E8" s="1">
        <v>1</v>
      </c>
      <c r="F8" s="1">
        <v>1</v>
      </c>
    </row>
    <row r="9" spans="1:6" ht="14.25" customHeight="1" x14ac:dyDescent="0.25">
      <c r="A9" s="1" t="s">
        <v>22</v>
      </c>
      <c r="B9" s="1">
        <v>1</v>
      </c>
      <c r="C9" s="1">
        <v>1</v>
      </c>
      <c r="D9" s="1">
        <v>1</v>
      </c>
      <c r="E9" s="1">
        <v>1</v>
      </c>
      <c r="F9" s="1">
        <v>1</v>
      </c>
    </row>
    <row r="10" spans="1:6" ht="14.25" customHeight="1" x14ac:dyDescent="0.25">
      <c r="A10" s="1" t="s">
        <v>23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</row>
    <row r="11" spans="1:6" ht="14.25" customHeight="1" x14ac:dyDescent="0.25">
      <c r="A11" s="1" t="s">
        <v>24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</row>
    <row r="12" spans="1:6" ht="14.25" customHeight="1" x14ac:dyDescent="0.25"/>
    <row r="13" spans="1:6" ht="14.25" customHeight="1" x14ac:dyDescent="0.25"/>
    <row r="14" spans="1:6" ht="14.25" customHeight="1" x14ac:dyDescent="0.25"/>
    <row r="15" spans="1:6" ht="14.25" customHeight="1" x14ac:dyDescent="0.25"/>
    <row r="16" spans="1: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</sheetData>
  <phoneticPr fontId="11" type="noConversion"/>
  <pageMargins left="0.7" right="0.7" top="0.75" bottom="0.75" header="0" footer="0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1000"/>
  <sheetViews>
    <sheetView workbookViewId="0"/>
  </sheetViews>
  <sheetFormatPr baseColWidth="10" defaultColWidth="14.42578125" defaultRowHeight="15" customHeight="1" x14ac:dyDescent="0.25"/>
  <cols>
    <col min="1" max="26" width="10.7109375" customWidth="1"/>
  </cols>
  <sheetData>
    <row r="1" spans="1:1" ht="14.25" customHeight="1" x14ac:dyDescent="0.25">
      <c r="A1" s="2" t="s">
        <v>6</v>
      </c>
    </row>
    <row r="2" spans="1:1" ht="14.25" customHeight="1" x14ac:dyDescent="0.25">
      <c r="A2" s="2" t="s">
        <v>7</v>
      </c>
    </row>
    <row r="3" spans="1:1" ht="14.25" customHeight="1" x14ac:dyDescent="0.25"/>
    <row r="4" spans="1:1" ht="14.25" customHeight="1" x14ac:dyDescent="0.25"/>
    <row r="5" spans="1:1" ht="14.25" customHeight="1" x14ac:dyDescent="0.25"/>
    <row r="6" spans="1:1" ht="14.25" customHeight="1" x14ac:dyDescent="0.25"/>
    <row r="7" spans="1:1" ht="14.25" customHeight="1" x14ac:dyDescent="0.25"/>
    <row r="8" spans="1:1" ht="14.25" customHeight="1" x14ac:dyDescent="0.25"/>
    <row r="9" spans="1:1" ht="14.25" customHeight="1" x14ac:dyDescent="0.25"/>
    <row r="10" spans="1:1" ht="14.25" customHeight="1" x14ac:dyDescent="0.25"/>
    <row r="11" spans="1:1" ht="14.25" customHeight="1" x14ac:dyDescent="0.25"/>
    <row r="12" spans="1:1" ht="14.25" customHeight="1" x14ac:dyDescent="0.25"/>
    <row r="13" spans="1:1" ht="14.25" customHeight="1" x14ac:dyDescent="0.25"/>
    <row r="14" spans="1:1" ht="14.25" customHeight="1" x14ac:dyDescent="0.25"/>
    <row r="15" spans="1:1" ht="14.25" customHeight="1" x14ac:dyDescent="0.25"/>
    <row r="16" spans="1:1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I1000"/>
  <sheetViews>
    <sheetView tabSelected="1" topLeftCell="A3" zoomScale="115" zoomScaleNormal="115" workbookViewId="0">
      <selection activeCell="H14" sqref="H14"/>
    </sheetView>
  </sheetViews>
  <sheetFormatPr baseColWidth="10" defaultColWidth="14.42578125" defaultRowHeight="15" customHeight="1" x14ac:dyDescent="0.25"/>
  <cols>
    <col min="1" max="1" width="2.5703125" customWidth="1"/>
    <col min="2" max="2" width="51" customWidth="1"/>
    <col min="3" max="3" width="23.140625" customWidth="1"/>
    <col min="4" max="4" width="32.140625" customWidth="1"/>
    <col min="5" max="5" width="30.28515625" customWidth="1"/>
    <col min="6" max="6" width="6.140625" customWidth="1"/>
    <col min="7" max="7" width="10.7109375" customWidth="1"/>
    <col min="8" max="9" width="12" customWidth="1"/>
    <col min="10" max="10" width="10.7109375" customWidth="1"/>
    <col min="11" max="11" width="13.42578125" bestFit="1" customWidth="1"/>
    <col min="12" max="26" width="10.7109375" customWidth="1"/>
  </cols>
  <sheetData>
    <row r="1" spans="1:9" ht="9.75" customHeight="1" x14ac:dyDescent="0.25">
      <c r="E1" s="3"/>
    </row>
    <row r="2" spans="1:9" ht="14.25" customHeight="1" x14ac:dyDescent="0.25">
      <c r="B2" s="4"/>
      <c r="E2" s="3"/>
    </row>
    <row r="3" spans="1:9" ht="9.75" customHeight="1" x14ac:dyDescent="0.25">
      <c r="A3" s="1"/>
    </row>
    <row r="4" spans="1:9" ht="14.25" customHeight="1" x14ac:dyDescent="0.25">
      <c r="B4" s="5"/>
      <c r="C4" s="5"/>
      <c r="D4" s="5"/>
      <c r="E4" s="5"/>
    </row>
    <row r="5" spans="1:9" ht="14.25" customHeight="1" x14ac:dyDescent="0.25">
      <c r="B5" s="5"/>
      <c r="C5" s="5"/>
      <c r="D5" s="5"/>
      <c r="E5" s="5"/>
    </row>
    <row r="6" spans="1:9" ht="14.25" customHeight="1" x14ac:dyDescent="0.25">
      <c r="B6" s="6" t="s">
        <v>8</v>
      </c>
      <c r="C6" s="6" t="s">
        <v>1</v>
      </c>
      <c r="D6" s="6"/>
      <c r="E6" s="6" t="s">
        <v>9</v>
      </c>
    </row>
    <row r="7" spans="1:9" ht="14.25" customHeight="1" x14ac:dyDescent="0.25">
      <c r="B7" s="7" t="s">
        <v>17</v>
      </c>
      <c r="C7" s="26">
        <f>+IFERROR(IF($D$7=0,VLOOKUP($B$7,Lista!$A$1:$F$12,2,0),$D$7),"-")</f>
        <v>1</v>
      </c>
      <c r="D7" s="26">
        <f>VLOOKUP($B$7,Lista!$A$1:$F$12,3,0)</f>
        <v>1</v>
      </c>
      <c r="E7" s="25">
        <f>VLOOKUP($B$7,Lista!$A$1:$F$12,4,0)</f>
        <v>1</v>
      </c>
    </row>
    <row r="8" spans="1:9" ht="18.75" customHeight="1" x14ac:dyDescent="0.25">
      <c r="G8" s="8" t="s">
        <v>10</v>
      </c>
      <c r="H8" s="9"/>
      <c r="I8" s="10"/>
    </row>
    <row r="9" spans="1:9" ht="14.25" customHeight="1" x14ac:dyDescent="0.25">
      <c r="G9" s="11"/>
      <c r="H9" s="12"/>
      <c r="I9" s="13"/>
    </row>
    <row r="10" spans="1:9" ht="14.25" customHeight="1" x14ac:dyDescent="0.25">
      <c r="B10" s="14" t="s">
        <v>11</v>
      </c>
      <c r="C10" s="15" t="s">
        <v>12</v>
      </c>
    </row>
    <row r="11" spans="1:9" ht="14.25" customHeight="1" x14ac:dyDescent="0.25">
      <c r="B11" s="16"/>
      <c r="C11" s="16"/>
      <c r="D11" s="16"/>
      <c r="E11" s="16"/>
      <c r="F11" s="14"/>
    </row>
    <row r="12" spans="1:9" ht="14.25" customHeight="1" x14ac:dyDescent="0.25">
      <c r="B12" s="16"/>
      <c r="C12" s="16"/>
      <c r="D12" s="16"/>
      <c r="E12" s="16"/>
    </row>
    <row r="13" spans="1:9" ht="14.25" customHeight="1" x14ac:dyDescent="0.25">
      <c r="B13" s="17" t="s">
        <v>8</v>
      </c>
      <c r="C13" s="17" t="s">
        <v>13</v>
      </c>
      <c r="D13" s="17"/>
      <c r="E13" s="17" t="s">
        <v>9</v>
      </c>
    </row>
    <row r="14" spans="1:9" ht="14.25" customHeight="1" x14ac:dyDescent="0.25">
      <c r="B14" s="18" t="str">
        <f>+$B$7</f>
        <v>Client 3</v>
      </c>
      <c r="C14" s="19">
        <f>+IFERROR(IF($D$14=0,VLOOKUP($B$14,Lista!$A$1:$F$11,2,0),$D$14),"-")</f>
        <v>1</v>
      </c>
      <c r="D14" s="19">
        <f>VLOOKUP($B$14,Lista!$A$1:$F$11,2,0)</f>
        <v>1</v>
      </c>
      <c r="E14" s="24">
        <f>VLOOKUP($B$14,Lista!$A$1:$F$11,5,0)</f>
        <v>1</v>
      </c>
    </row>
    <row r="15" spans="1:9" ht="14.25" customHeight="1" x14ac:dyDescent="0.25">
      <c r="B15" s="20"/>
    </row>
    <row r="16" spans="1:9" ht="14.25" customHeight="1" x14ac:dyDescent="0.25"/>
    <row r="17" spans="2:5" ht="14.25" customHeight="1" x14ac:dyDescent="0.25">
      <c r="B17" s="14" t="s">
        <v>14</v>
      </c>
      <c r="C17" s="15" t="s">
        <v>12</v>
      </c>
    </row>
    <row r="18" spans="2:5" ht="14.25" customHeight="1" x14ac:dyDescent="0.25">
      <c r="B18" s="21"/>
      <c r="C18" s="21"/>
      <c r="D18" s="21"/>
      <c r="E18" s="21"/>
    </row>
    <row r="19" spans="2:5" ht="14.25" customHeight="1" x14ac:dyDescent="0.25">
      <c r="B19" s="21"/>
      <c r="C19" s="21"/>
      <c r="D19" s="21"/>
      <c r="E19" s="21"/>
    </row>
    <row r="20" spans="2:5" ht="14.25" customHeight="1" x14ac:dyDescent="0.25">
      <c r="B20" s="22" t="s">
        <v>8</v>
      </c>
      <c r="C20" s="22" t="s">
        <v>13</v>
      </c>
      <c r="D20" s="22"/>
      <c r="E20" s="22" t="s">
        <v>9</v>
      </c>
    </row>
    <row r="21" spans="2:5" ht="14.25" customHeight="1" x14ac:dyDescent="0.25">
      <c r="B21" s="18" t="str">
        <f>+$B$14</f>
        <v>Client 3</v>
      </c>
      <c r="C21" s="19">
        <f>+IFERROR(IF($D$21=0,VLOOKUP($B$21,Lista!$A$1:$F$11,2,0),$D$21),"-")</f>
        <v>1</v>
      </c>
      <c r="D21" s="19">
        <f>VLOOKUP($B$21,Lista!$A$1:$F$11,2,0)</f>
        <v>1</v>
      </c>
      <c r="E21" s="23">
        <f>VLOOKUP($B$21,Lista!$A$1:$F$11,6,0)</f>
        <v>1</v>
      </c>
    </row>
    <row r="22" spans="2:5" ht="14.25" customHeight="1" x14ac:dyDescent="0.25"/>
    <row r="23" spans="2:5" ht="14.25" customHeight="1" x14ac:dyDescent="0.25"/>
    <row r="24" spans="2:5" ht="14.25" customHeight="1" x14ac:dyDescent="0.25"/>
    <row r="25" spans="2:5" ht="14.25" customHeight="1" x14ac:dyDescent="0.25"/>
    <row r="26" spans="2:5" ht="14.25" customHeight="1" x14ac:dyDescent="0.25"/>
    <row r="27" spans="2:5" ht="14.25" customHeight="1" x14ac:dyDescent="0.25"/>
    <row r="28" spans="2:5" ht="14.25" customHeight="1" x14ac:dyDescent="0.25"/>
    <row r="29" spans="2:5" ht="14.25" customHeight="1" x14ac:dyDescent="0.25"/>
    <row r="30" spans="2:5" ht="14.25" customHeight="1" x14ac:dyDescent="0.25"/>
    <row r="31" spans="2:5" ht="14.25" customHeight="1" x14ac:dyDescent="0.25"/>
    <row r="32" spans="2: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200-000000000000}">
          <x14:formula1>
            <xm:f>Lista!$A$2:$A$11</xm:f>
          </x14:formula1>
          <xm:sqref>B7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Opciones</vt:lpstr>
      <vt:lpstr>Login Automatico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Francisco</cp:lastModifiedBy>
  <dcterms:created xsi:type="dcterms:W3CDTF">2020-01-27T12:08:42Z</dcterms:created>
  <dcterms:modified xsi:type="dcterms:W3CDTF">2024-03-18T12:50:29Z</dcterms:modified>
</cp:coreProperties>
</file>